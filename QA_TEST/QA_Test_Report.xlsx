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isupply/Downloads/"/>
    </mc:Choice>
  </mc:AlternateContent>
  <xr:revisionPtr revIDLastSave="0" documentId="13_ncr:1_{FACF43DB-04FC-6347-A131-C6CA9DF696FB}" xr6:coauthVersionLast="47" xr6:coauthVersionMax="47" xr10:uidLastSave="{00000000-0000-0000-0000-000000000000}"/>
  <bookViews>
    <workbookView xWindow="0" yWindow="500" windowWidth="28800" windowHeight="16080" tabRatio="500" activeTab="2" xr2:uid="{00000000-000D-0000-FFFF-FFFF00000000}"/>
  </bookViews>
  <sheets>
    <sheet name="Test Cases" sheetId="1" r:id="rId1"/>
    <sheet name="Coverage Summary" sheetId="2" r:id="rId2"/>
    <sheet name="Bug Lo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F6" i="2"/>
  <c r="E6" i="2"/>
  <c r="D6" i="2"/>
  <c r="C6" i="2"/>
  <c r="H6" i="2" s="1"/>
  <c r="B6" i="2"/>
  <c r="G5" i="2"/>
  <c r="F5" i="2"/>
  <c r="E5" i="2"/>
  <c r="D5" i="2"/>
  <c r="C5" i="2"/>
  <c r="H5" i="2" s="1"/>
  <c r="B5" i="2"/>
  <c r="G4" i="2"/>
  <c r="F4" i="2"/>
  <c r="E4" i="2"/>
  <c r="D4" i="2"/>
  <c r="C4" i="2"/>
  <c r="H4" i="2" s="1"/>
  <c r="B4" i="2"/>
  <c r="G3" i="2"/>
  <c r="F3" i="2"/>
  <c r="E3" i="2"/>
  <c r="D3" i="2"/>
  <c r="C3" i="2"/>
  <c r="H3" i="2" s="1"/>
  <c r="B3" i="2"/>
  <c r="G2" i="2"/>
  <c r="F2" i="2"/>
  <c r="E2" i="2"/>
  <c r="D2" i="2"/>
  <c r="C2" i="2"/>
  <c r="H2" i="2" s="1"/>
  <c r="B2" i="2"/>
  <c r="B7" i="2" s="1"/>
  <c r="F7" i="2" l="1"/>
  <c r="I6" i="2"/>
  <c r="G7" i="2"/>
  <c r="I4" i="2"/>
  <c r="I3" i="2"/>
  <c r="I2" i="2"/>
  <c r="I5" i="2"/>
  <c r="E7" i="2"/>
  <c r="C7" i="2"/>
  <c r="H7" i="2" s="1"/>
  <c r="D7" i="2"/>
  <c r="I7" i="2" l="1"/>
</calcChain>
</file>

<file path=xl/sharedStrings.xml><?xml version="1.0" encoding="utf-8"?>
<sst xmlns="http://schemas.openxmlformats.org/spreadsheetml/2006/main" count="540" uniqueCount="284">
  <si>
    <t>TC ID</t>
  </si>
  <si>
    <t>Module</t>
  </si>
  <si>
    <t>Type</t>
  </si>
  <si>
    <t>Priority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</si>
  <si>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</si>
  <si>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</si>
  <si>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</si>
  <si>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</si>
  <si>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</si>
  <si>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</si>
  <si>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</si>
  <si>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Notes</t>
  </si>
  <si>
    <t>TC-001</t>
  </si>
  <si>
    <t>Add Book</t>
  </si>
  <si>
    <t>Positive</t>
  </si>
  <si>
    <t>High</t>
  </si>
  <si>
    <t>Tambah buku dengan data valid via API</t>
  </si>
  <si>
    <t>Backend berjalan</t>
  </si>
  <si>
    <t>POST /api/books</t>
  </si>
  <si>
    <t>{"title":"Atomic Habits","author":"James Clear","status":"unread"}</t>
  </si>
  <si>
    <t>Status 201, response berisi objek buku baru dengan id</t>
  </si>
  <si>
    <t>Not Executed</t>
  </si>
  <si>
    <t>TC-002</t>
  </si>
  <si>
    <t>Medium</t>
  </si>
  <si>
    <t>Tambah buku dengan status reading</t>
  </si>
  <si>
    <t>status="reading"</t>
  </si>
  <si>
    <t>Status 201, tersimpan dengan status reading</t>
  </si>
  <si>
    <t>TC-003</t>
  </si>
  <si>
    <t>Tambah buku dengan status completed</t>
  </si>
  <si>
    <t>status="completed"</t>
  </si>
  <si>
    <t>Status 201, tersimpan dengan status completed</t>
  </si>
  <si>
    <t>TC-004</t>
  </si>
  <si>
    <t>Negative</t>
  </si>
  <si>
    <t>Tambah buku tanpa field title</t>
  </si>
  <si>
    <t>{"author":"James Clear","status":"unread"}</t>
  </si>
  <si>
    <t>Ditolak (400) dengan pesan error yang jelas</t>
  </si>
  <si>
    <t>TC-005</t>
  </si>
  <si>
    <t>Tambah buku tanpa field author</t>
  </si>
  <si>
    <t>{"title":"Atomic Habits","status":"unread"}</t>
  </si>
  <si>
    <t>TC-006</t>
  </si>
  <si>
    <t>Tambah buku tanpa field status</t>
  </si>
  <si>
    <t>tanpa field status</t>
  </si>
  <si>
    <t>Ditolak (400) atau default ke unread - dokumentasikan perilaku aktual</t>
  </si>
  <si>
    <t>TC-007</t>
  </si>
  <si>
    <t>Tambah buku dengan status tidak valid</t>
  </si>
  <si>
    <t>status="finished"</t>
  </si>
  <si>
    <t>Ditolak (400), tidak diterima sebagai enum valid</t>
  </si>
  <si>
    <t>TC-008</t>
  </si>
  <si>
    <t>Tambah buku dengan title string kosong</t>
  </si>
  <si>
    <t>title=""</t>
  </si>
  <si>
    <t>Ditolak (400)</t>
  </si>
  <si>
    <t>TC-009</t>
  </si>
  <si>
    <t>Low</t>
  </si>
  <si>
    <t>Tambah buku dengan title sangat panjang</t>
  </si>
  <si>
    <t>title 1000+ karakter</t>
  </si>
  <si>
    <t>Server tidak crash; ditolak atau diterima sesuai batas wajar</t>
  </si>
  <si>
    <t>TC-010</t>
  </si>
  <si>
    <t>Tambah buku dengan tipe data salah</t>
  </si>
  <si>
    <t>title=12345 (number)</t>
  </si>
  <si>
    <t>Ditolak (400) atau dikonversi aman, tidak 500 error</t>
  </si>
  <si>
    <t>TC-011</t>
  </si>
  <si>
    <t>Tambah buku dengan field tambahan tak dikenal</t>
  </si>
  <si>
    <t>tambahkan "rating":5</t>
  </si>
  <si>
    <t>Diabaikan atau ditolak, bukan 500 error</t>
  </si>
  <si>
    <t>TC-012</t>
  </si>
  <si>
    <t>Tambah buku via form UI dengan data valid</t>
  </si>
  <si>
    <t>Frontend &amp; backend berjalan</t>
  </si>
  <si>
    <t>Isi form Add Book, submit</t>
  </si>
  <si>
    <t>Title, Author valid</t>
  </si>
  <si>
    <t>Buku baru langsung muncul di daftar</t>
  </si>
  <si>
    <t>TC-013</t>
  </si>
  <si>
    <t>Submit form Add dengan title kosong</t>
  </si>
  <si>
    <t>Frontend berjalan</t>
  </si>
  <si>
    <t>Kosongkan title, submit</t>
  </si>
  <si>
    <t>Validasi frontend mencegah submit / pesan error muncul</t>
  </si>
  <si>
    <t>TC-014</t>
  </si>
  <si>
    <t>Submit form Add dengan author kosong</t>
  </si>
  <si>
    <t>Kosongkan author, submit</t>
  </si>
  <si>
    <t>author=""</t>
  </si>
  <si>
    <t>TC-015</t>
  </si>
  <si>
    <t>Tambah buku dengan script pada title (XSS check)</t>
  </si>
  <si>
    <t>Isi title dengan &lt;script&gt;alert(1)&lt;/script&gt;</t>
  </si>
  <si>
    <t>title berisi script tag</t>
  </si>
  <si>
    <t>Ditampilkan sebagai teks biasa, script tidak tereksekusi</t>
  </si>
  <si>
    <t>TC-016</t>
  </si>
  <si>
    <t>View/List</t>
  </si>
  <si>
    <t>Ambil semua buku via API</t>
  </si>
  <si>
    <t>GET /api/books</t>
  </si>
  <si>
    <t>-</t>
  </si>
  <si>
    <t>Status 200, response array of book object</t>
  </si>
  <si>
    <t>TC-017</t>
  </si>
  <si>
    <t>Ambil daftar buku saat data kosong</t>
  </si>
  <si>
    <t>Semua data dihapus</t>
  </si>
  <si>
    <t>Status 200, response [] (bukan error)</t>
  </si>
  <si>
    <t>TC-018</t>
  </si>
  <si>
    <t>Halaman Browse Library menampilkan daftar buku</t>
  </si>
  <si>
    <t>Buka halaman Browse Library</t>
  </si>
  <si>
    <t>Semua buku tampil dengan title, author, status</t>
  </si>
  <si>
    <t>TC-019</t>
  </si>
  <si>
    <t>Label status ditampilkan sesuai data</t>
  </si>
  <si>
    <t>Ada buku dgn status berbeda</t>
  </si>
  <si>
    <t>Cek tampilan status tiap buku</t>
  </si>
  <si>
    <t>Label unread/reading/completed sesuai data backend</t>
  </si>
  <si>
    <t>TC-020</t>
  </si>
  <si>
    <t>UI saat backend tidak dapat diakses</t>
  </si>
  <si>
    <t>Backend dimatikan</t>
  </si>
  <si>
    <t>Buka/refresh halaman</t>
  </si>
  <si>
    <t>Muncul pesan error informatif, UI tidak blank/crash</t>
  </si>
  <si>
    <t>TC-021</t>
  </si>
  <si>
    <t>Update Book</t>
  </si>
  <si>
    <t>Update title/author buku via API</t>
  </si>
  <si>
    <t>Ada buku valid</t>
  </si>
  <si>
    <t>PUT /api/books/&lt;id&gt;</t>
  </si>
  <si>
    <t>title baru</t>
  </si>
  <si>
    <t>Status 200, data ter-update</t>
  </si>
  <si>
    <t>TC-022</t>
  </si>
  <si>
    <t>Update status unread -&gt; reading</t>
  </si>
  <si>
    <t>Ada buku status unread</t>
  </si>
  <si>
    <t>Status 200, status berubah</t>
  </si>
  <si>
    <t>TC-023</t>
  </si>
  <si>
    <t>Update status reading -&gt; completed</t>
  </si>
  <si>
    <t>Ada buku status reading</t>
  </si>
  <si>
    <t>TC-024</t>
  </si>
  <si>
    <t>Update buku dengan ID tidak ada</t>
  </si>
  <si>
    <t>PUT /api/books/999999</t>
  </si>
  <si>
    <t>data valid</t>
  </si>
  <si>
    <t>Status 404, tidak membuat data baru</t>
  </si>
  <si>
    <t>TC-025</t>
  </si>
  <si>
    <t>Update dengan status tidak valid</t>
  </si>
  <si>
    <t>status="onhold"</t>
  </si>
  <si>
    <t>Ditolak (400), data lama tidak berubah</t>
  </si>
  <si>
    <t>TC-026</t>
  </si>
  <si>
    <t>Update dengan title dikosongkan</t>
  </si>
  <si>
    <t>TC-027</t>
  </si>
  <si>
    <t>Update dengan format ID tidak valid</t>
  </si>
  <si>
    <t>PUT /api/books/abc</t>
  </si>
  <si>
    <t>Status 400/404, bukan 500 error</t>
  </si>
  <si>
    <t>TC-028</t>
  </si>
  <si>
    <t>Edit buku via UI, simpan perubahan</t>
  </si>
  <si>
    <t>Klik edit, ubah data, save</t>
  </si>
  <si>
    <t>data baru</t>
  </si>
  <si>
    <t>Daftar buku ter-refresh menampilkan data terbaru</t>
  </si>
  <si>
    <t>TC-029</t>
  </si>
  <si>
    <t>Edit buku via UI, kosongkan title, coba save</t>
  </si>
  <si>
    <t>Hapus isi title, klik save</t>
  </si>
  <si>
    <t>Validasi mencegah simpan / muncul pesan error</t>
  </si>
  <si>
    <t>TC-030</t>
  </si>
  <si>
    <t>Delete Book</t>
  </si>
  <si>
    <t>Hapus buku dengan ID valid via API</t>
  </si>
  <si>
    <t>DELETE /api/books/&lt;id&gt;</t>
  </si>
  <si>
    <t>Status 200/204, buku hilang dari GET list</t>
  </si>
  <si>
    <t>TC-031</t>
  </si>
  <si>
    <t>Hapus buku dengan ID tidak ada</t>
  </si>
  <si>
    <t>DELETE /api/books/999999</t>
  </si>
  <si>
    <t>Status 404</t>
  </si>
  <si>
    <t>TC-032</t>
  </si>
  <si>
    <t>Hapus buku yang sama dua kali</t>
  </si>
  <si>
    <t>DELETE dua kali berturut-turut</t>
  </si>
  <si>
    <t>Panggilan kedua mengembalikan 404, bukan 200</t>
  </si>
  <si>
    <t>TC-033</t>
  </si>
  <si>
    <t>Hapus buku via UI</t>
  </si>
  <si>
    <t>Klik delete, konfirmasi</t>
  </si>
  <si>
    <t>Buku hilang dari daftar setelah konfirmasi</t>
  </si>
  <si>
    <t>TC-034</t>
  </si>
  <si>
    <t>Batalkan konfirmasi delete</t>
  </si>
  <si>
    <t>Klik delete, lalu cancel</t>
  </si>
  <si>
    <t>Buku tetap ada di daftar, tidak terhapus</t>
  </si>
  <si>
    <t>TC-035</t>
  </si>
  <si>
    <t>General</t>
  </si>
  <si>
    <t>Akses endpoint dengan method tidak didukung</t>
  </si>
  <si>
    <t>PATCH /api/books</t>
  </si>
  <si>
    <t>Status 405 Method Not Allowed</t>
  </si>
  <si>
    <t>TC-036</t>
  </si>
  <si>
    <t>CORS mengizinkan request dari frontend</t>
  </si>
  <si>
    <t>Panggil API dari origin frontend</t>
  </si>
  <si>
    <t>Header CORS mengizinkan, tidak ada error CORS di console</t>
  </si>
  <si>
    <t>TC-037</t>
  </si>
  <si>
    <t>Data tidak persisten setelah restart backend</t>
  </si>
  <si>
    <t>Tambah buku, restart backend, GET books</t>
  </si>
  <si>
    <t>Dokumentasikan sebagai known behavior, bukan bug</t>
  </si>
  <si>
    <t>TC-038</t>
  </si>
  <si>
    <t>Tampilan responsif di layar kecil (mobile)</t>
  </si>
  <si>
    <t>Buka Browse Library dgn viewport mobile</t>
  </si>
  <si>
    <t>Layout tetap rapi, tidak ada elemen terpotong</t>
  </si>
  <si>
    <t>TC-039</t>
  </si>
  <si>
    <t>Kirim body JSON yang malformed</t>
  </si>
  <si>
    <t>POST /api/books dengan JSON rusak</t>
  </si>
  <si>
    <t>{"title":"A",</t>
  </si>
  <si>
    <t>Status 400, bukan 500</t>
  </si>
  <si>
    <t>TC-040</t>
  </si>
  <si>
    <t>Percobaan SQL Injection pada field title</t>
  </si>
  <si>
    <t>title="'; DROP TABLE books;--"</t>
  </si>
  <si>
    <t>Data diperlakukan sebagai string biasa, tidak ada error/kerusakan data</t>
  </si>
  <si>
    <t>Total TC</t>
  </si>
  <si>
    <t>Executed</t>
  </si>
  <si>
    <t>Pass</t>
  </si>
  <si>
    <t>Fail</t>
  </si>
  <si>
    <t>Blocked</t>
  </si>
  <si>
    <t>Coverage %</t>
  </si>
  <si>
    <t>Pass Rate %</t>
  </si>
  <si>
    <t>TOTAL</t>
  </si>
  <si>
    <t>Bug ID</t>
  </si>
  <si>
    <t>Related TC ID</t>
  </si>
  <si>
    <t>Title</t>
  </si>
  <si>
    <t>Severity</t>
  </si>
  <si>
    <t>Environment</t>
  </si>
  <si>
    <t>Steps to Reproduce</t>
  </si>
  <si>
    <t>Reported By</t>
  </si>
  <si>
    <t>Date</t>
  </si>
  <si>
    <t>BUG-001</t>
  </si>
  <si>
    <t>Open</t>
  </si>
  <si>
    <t>Minor</t>
  </si>
  <si>
    <t>Port backend = 5001, nilai status = read/reading/want-to-read</t>
  </si>
  <si>
    <t>[Daffa Arkantaqqy]</t>
  </si>
  <si>
    <t>[09/09/2026]</t>
  </si>
  <si>
    <t>Local</t>
  </si>
  <si>
    <t>201 Created, id:9, field cover/genre/pages/rating default kosong/0</t>
  </si>
  <si>
    <t>201 Created, id:10, status reading</t>
  </si>
  <si>
    <t>201 Created, id:11, status read</t>
  </si>
  <si>
    <t>201 Created (harusnya 400), id:12 dibuat dengan title:null</t>
  </si>
  <si>
    <t>BUG-002</t>
  </si>
  <si>
    <t>Major</t>
  </si>
  <si>
    <t>201 Created (harusnya 400), author:null</t>
  </si>
  <si>
    <t>201 Created, status default ke "want-to-read" saat tidak dikirim</t>
  </si>
  <si>
    <t>201 Created (harusnya 400), status:"finished" tersimpan</t>
  </si>
  <si>
    <t>BUG-003</t>
  </si>
  <si>
    <t xml:space="preserve">	Ditolak, status 400 Bad Request</t>
  </si>
  <si>
    <t xml:space="preserve">	Diterima, status 201 Created, tersimpan dengan status: "finished" yang tidak valid</t>
  </si>
  <si>
    <t>201 Created (harusnya 400), title:""</t>
  </si>
  <si>
    <t>201 Created, tidak crash meski title &gt;1000 karakter</t>
  </si>
  <si>
    <t>Tidak ada batas maksimal panjang title pertimbangkan validasi max length sebagai improvement</t>
  </si>
  <si>
    <t>201 Created, title tersimpan sebagai number (12345) bukan string, tidak ada validasi/konversi tipe</t>
  </si>
  <si>
    <t>BUG-004</t>
  </si>
  <si>
    <t>201 Created, field "foo" diabaikan, tidak muncul di response</t>
  </si>
  <si>
    <t>201 Created, title tersimpan sebagai string apa adanya</t>
  </si>
  <si>
    <t>Critical</t>
  </si>
  <si>
    <t>POST /api/books tidak validasi required field, title/author null menyebabkan seluruh halaman Browse Library crash (uncaught TypeError)</t>
  </si>
  <si>
    <t>Request ditolak di backend (400) sehingga data null tidak pernah sampai ke frontend; atau minimal frontend melakukan null-check sebelum memanggil .toLowerCase()</t>
  </si>
  <si>
    <t>Backend menerima data null, frontend crash total (blank page) untuk semua pengguna, bukan cuma buku yang bermasalah</t>
  </si>
  <si>
    <t xml:space="preserve">	POST /api/books tidak memvalidasi/mengonversi tipe data title — nilai number tersimpan apa adanya dan menyebabkan crash total di halaman Browse Library</t>
  </si>
  <si>
    <t>Backend menolak (400) tipe data yang salah; atau minimal frontend melakukan null/type-check sebelum .toLowerCase()</t>
  </si>
  <si>
    <t>Data tersimpan, seluruh halaman Browse Library down untuk semua user</t>
  </si>
  <si>
    <t>Title tampil sebagai teks literal di UI, script tidak tereksekusi, tidak ada popup alert</t>
  </si>
  <si>
    <t>Tidak ada form UI untuk menambah buku baru dengan title/author custom — fitur Add Book hanya tersedia via API. Tombol "+" di UI berfungsi untuk menambahkan buku existing (status want-to-read) ke My Library, bukan membuat buku baru.</t>
  </si>
  <si>
    <t xml:space="preserve">Trival </t>
  </si>
  <si>
    <t>Sesuai README ("Add, view, update, and delete books"), harusnya ada form UI untuk membuat buku baru</t>
  </si>
  <si>
    <t>Tidak ada form seperti itu di UI; fitur Add hanya bisa diakses lewat POST /api/books langsung</t>
  </si>
  <si>
    <t>OBSERVATION-001</t>
  </si>
  <si>
    <t>Tidak dieksekusi untuk menghindari kehilangan data uji utama — cukup divalidasi secara logis bahwa endpoint mengembalikan array (terbukti dari TC-016), asumsi array kosong [] akan sama validnya</t>
  </si>
  <si>
    <t>Semua buku tampil di Browse Library dengan title, author, status</t>
  </si>
  <si>
    <t>Status "read" dan "reading" tampil sebagai label teks sesuai data. Status "want-to-read" tidak punya label teks, digantikan tombol "+"  tidak ada indikator visual status yang jelas untuk kategori ini</t>
  </si>
  <si>
    <t>Saat backend mati, muncul pesan informatif "Failed to fetch books. Please try again later." di UI. Console menunjukkan network error yang tertangkap dengan baik (try/catch), tidak ada uncaught exception atau crash halaman</t>
  </si>
  <si>
    <t>200 OK, title berhasil diupdate</t>
  </si>
  <si>
    <t>200 OK, status berhasil berubah dari want-to-read ke reading</t>
  </si>
  <si>
    <t>200 OK, status berhasil berubah dari reading ke read</t>
  </si>
  <si>
    <t>404 Not Found, response {"error": "Book not found"}</t>
  </si>
  <si>
    <t>200 OK (harusnya 400), status "onhold" tersimpan meski bukan enum valid</t>
  </si>
  <si>
    <t>TC-007,TC-025</t>
  </si>
  <si>
    <t>POST dan PUT /api/books menerima nilai status di luar enum yang valid</t>
  </si>
  <si>
    <t>200 OK (harusnya 400), title:"" tersimpan (dieksekusi di id:1 tidak sengaja)</t>
  </si>
  <si>
    <t>TC-004, TC-005, TC-008, TC-026</t>
  </si>
  <si>
    <t>404 Not Found, tidak ada 500 error</t>
  </si>
  <si>
    <t>Tidak ada form/UI untuk edit title/author buku. Klik pada kartu buku maupun halaman MyLibrary tidak membuka form edit.</t>
  </si>
  <si>
    <t>Sama seperti TC-028, tidak ada form edit di UI sehingga skenario "kosongkan title lalu save" tidak bisa diuji.</t>
  </si>
  <si>
    <t>200 OK, data berhasil terhapus dari list (terbukti dari pembersihan data sebelumnya)</t>
  </si>
  <si>
    <t>404 Not Found, {"error": "Book not found"}</t>
  </si>
  <si>
    <t>Delete pertama: 200 OK data terhapus. Delete kedua: 404 Not Found, tidak ada error/crash</t>
  </si>
  <si>
    <t>Tidak ada tombol/elemen delete di UI (Browse Library maupun MyLibrary). Fitur delete hanya bisa diakses via API langsung.</t>
  </si>
  <si>
    <t>Sama seperti TC-033, tidak bisa diuji karena tidak ada tombol delete/dialog konfirmasi di UI.</t>
  </si>
  <si>
    <t>TC-012–014, TC-028–029, TC-033–034</t>
  </si>
  <si>
    <t>README menyebutkan fitur "Add, view, update, and delete books" tapi UI Browse Library/MyLibrary hanya menyediakan operasi View dan aksi terbatas (tombol "+" untuk set status want-to-read). Add, Update (edit bebas), dan Delete hanya bisa diakses via API langsung, tidak ada form/tombol di UI.</t>
  </si>
  <si>
    <t>405 Method Not Allowed</t>
  </si>
  <si>
    <t>Tidak ada CORS error di console selama testing UI, request dari frontend ke backend berhasil normal</t>
  </si>
  <si>
    <t>Setelah restart backend, semua data (termasuk hasil testing) tetap ada. Ternyata storage menggunakan file books.json, bukan in-memory seperti disebutkan README</t>
  </si>
  <si>
    <t>Dokumentasi README tidak sesuai implementasi aktual (port, enum status, dan mekanisme storage)</t>
  </si>
  <si>
    <t>Port backend = 5000, nilai status = unread/reading/completed (sesuai README) Storage sebenarnya persisten via books.json, bukan in-memory</t>
  </si>
  <si>
    <t>Layout tetap rapi di viewport mobile (iPhone SE), tidak ada elemen terpotong/overflow</t>
  </si>
  <si>
    <t>400 Bad Request untuk JSON malformed maupun body kosong, tidak ada 500 error/crash server</t>
  </si>
  <si>
    <t>201 Created, string tersimpan apa adanya sebagai title, tidak ada error/kerusakan data. Catatan: storage pakai books.json bukan SQL database, jadi SQL injection klasik tidak applicable — tapi baik untuk verifikasi tidak ada crash</t>
  </si>
  <si>
    <t>1. Jalankan backend sesuai README (port 5000)\ 2. Backend ternyata jalan di port 5001\ 3. Cek response GET /api/books, field status berisi "read"/"want-to-read" 4. README menyatakan "Currently using in-memory storage" tapi ternyata data disimpan permanen di file books.json</t>
  </si>
  <si>
    <t>1. POST /api/books tanpa title atau author → tersimpan sebagai null\ 2. Buka halaman Browse Library\ 3. Halaman crash, muncul error di console: Cannot read properties of null (reading 'toLowerCase') di BrowseLibrary.tsx:49</t>
  </si>
  <si>
    <t>1. POST /api/books dengan status:"finished" (bukan read/reading/want-to-read)\ 2. Cek response 3. PUT /api/books/&lt;id&gt; dengan status:"onhold" juga diterima (200) tanpa validasi</t>
  </si>
  <si>
    <t>1. POST /api/books dengan title: 12345 (number)\ 2. Data tersimpan tanpa validasi\ 3. Buka halaman Browse Library → seluruh halaman crash, console: book.title.toLowerCase is not a function</t>
  </si>
  <si>
    <t>1. Buka halaman Browse Library\ 2. Cari tombol/form untuk menambahkan buku baru dengan title/author bebas\ 3. Tidak ditemukan — tombol "+" yang ada berfungsi untuk hal lain (menambahkan buku existing ke My Library)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</si>
</sst>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i/>
      <sz val="10"/>
      <color rgb="FF666666"/>
      <name val="Arial"/>
      <family val="2"/>
    </font>
    <font>
      <i/>
      <sz val="10"/>
      <color rgb="FF666666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zoomScale="85" zoomScaleNormal="100" workbookViewId="0">
      <pane ySplit="1" topLeftCell="A2" activePane="bottomLeft" state="frozen"/>
      <selection pane="bottomLeft" activeCell="J3" sqref="J3"/>
    </sheetView>
  </sheetViews>
  <sheetFormatPr baseColWidth="10" defaultColWidth="8.6640625" defaultRowHeight="15" x14ac:dyDescent="0.2"/>
  <cols>
    <col min="1" max="1" width="9" customWidth="1"/>
    <col min="2" max="2" width="12" customWidth="1"/>
    <col min="3" max="4" width="9" customWidth="1"/>
    <col min="5" max="5" width="30" customWidth="1"/>
    <col min="6" max="6" width="16" customWidth="1"/>
    <col min="7" max="7" width="22" customWidth="1"/>
    <col min="8" max="8" width="26" customWidth="1"/>
    <col min="9" max="9" width="34" customWidth="1"/>
    <col min="10" max="10" width="26" customWidth="1"/>
    <col min="11" max="11" width="13" customWidth="1"/>
    <col min="12" max="12" width="20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2" x14ac:dyDescent="0.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4" t="s">
        <v>216</v>
      </c>
      <c r="K2" s="2" t="s">
        <v>195</v>
      </c>
      <c r="L2" s="2"/>
    </row>
    <row r="3" spans="1:12" ht="28" x14ac:dyDescent="0.2">
      <c r="A3" s="2" t="s">
        <v>22</v>
      </c>
      <c r="B3" s="2" t="s">
        <v>13</v>
      </c>
      <c r="C3" s="3" t="s">
        <v>14</v>
      </c>
      <c r="D3" s="2" t="s">
        <v>23</v>
      </c>
      <c r="E3" s="2" t="s">
        <v>24</v>
      </c>
      <c r="F3" s="2" t="s">
        <v>17</v>
      </c>
      <c r="G3" s="2" t="s">
        <v>18</v>
      </c>
      <c r="H3" s="2" t="s">
        <v>25</v>
      </c>
      <c r="I3" s="2" t="s">
        <v>26</v>
      </c>
      <c r="J3" s="14" t="s">
        <v>217</v>
      </c>
      <c r="K3" s="2" t="s">
        <v>195</v>
      </c>
      <c r="L3" s="2"/>
    </row>
    <row r="4" spans="1:12" ht="28" x14ac:dyDescent="0.2">
      <c r="A4" s="2" t="s">
        <v>27</v>
      </c>
      <c r="B4" s="2" t="s">
        <v>13</v>
      </c>
      <c r="C4" s="3" t="s">
        <v>14</v>
      </c>
      <c r="D4" s="2" t="s">
        <v>23</v>
      </c>
      <c r="E4" s="2" t="s">
        <v>28</v>
      </c>
      <c r="F4" s="2" t="s">
        <v>17</v>
      </c>
      <c r="G4" s="2" t="s">
        <v>18</v>
      </c>
      <c r="H4" s="2" t="s">
        <v>29</v>
      </c>
      <c r="I4" s="2" t="s">
        <v>30</v>
      </c>
      <c r="J4" s="14" t="s">
        <v>218</v>
      </c>
      <c r="K4" s="2" t="s">
        <v>195</v>
      </c>
      <c r="L4" s="2"/>
    </row>
    <row r="5" spans="1:12" ht="28" x14ac:dyDescent="0.2">
      <c r="A5" s="2" t="s">
        <v>31</v>
      </c>
      <c r="B5" s="2" t="s">
        <v>13</v>
      </c>
      <c r="C5" s="4" t="s">
        <v>32</v>
      </c>
      <c r="D5" s="2" t="s">
        <v>15</v>
      </c>
      <c r="E5" s="2" t="s">
        <v>33</v>
      </c>
      <c r="F5" s="2" t="s">
        <v>17</v>
      </c>
      <c r="G5" s="2" t="s">
        <v>18</v>
      </c>
      <c r="H5" s="2" t="s">
        <v>34</v>
      </c>
      <c r="I5" s="2" t="s">
        <v>35</v>
      </c>
      <c r="J5" s="14" t="s">
        <v>219</v>
      </c>
      <c r="K5" s="2" t="s">
        <v>196</v>
      </c>
      <c r="L5" s="2"/>
    </row>
    <row r="6" spans="1:12" ht="28" x14ac:dyDescent="0.2">
      <c r="A6" s="2" t="s">
        <v>36</v>
      </c>
      <c r="B6" s="2" t="s">
        <v>13</v>
      </c>
      <c r="C6" s="4" t="s">
        <v>32</v>
      </c>
      <c r="D6" s="2" t="s">
        <v>15</v>
      </c>
      <c r="E6" s="2" t="s">
        <v>37</v>
      </c>
      <c r="F6" s="2" t="s">
        <v>17</v>
      </c>
      <c r="G6" s="2" t="s">
        <v>18</v>
      </c>
      <c r="H6" s="2" t="s">
        <v>38</v>
      </c>
      <c r="I6" s="2" t="s">
        <v>35</v>
      </c>
      <c r="J6" s="14" t="s">
        <v>222</v>
      </c>
      <c r="K6" s="2" t="s">
        <v>196</v>
      </c>
      <c r="L6" s="2"/>
    </row>
    <row r="7" spans="1:12" ht="28" x14ac:dyDescent="0.2">
      <c r="A7" s="2" t="s">
        <v>39</v>
      </c>
      <c r="B7" s="2" t="s">
        <v>13</v>
      </c>
      <c r="C7" s="4" t="s">
        <v>32</v>
      </c>
      <c r="D7" s="2" t="s">
        <v>23</v>
      </c>
      <c r="E7" s="2" t="s">
        <v>40</v>
      </c>
      <c r="F7" s="2" t="s">
        <v>17</v>
      </c>
      <c r="G7" s="2" t="s">
        <v>18</v>
      </c>
      <c r="H7" s="2" t="s">
        <v>41</v>
      </c>
      <c r="I7" s="2" t="s">
        <v>42</v>
      </c>
      <c r="J7" s="14" t="s">
        <v>223</v>
      </c>
      <c r="K7" s="2" t="s">
        <v>195</v>
      </c>
      <c r="L7" s="2"/>
    </row>
    <row r="8" spans="1:12" ht="28" x14ac:dyDescent="0.2">
      <c r="A8" s="2" t="s">
        <v>43</v>
      </c>
      <c r="B8" s="2" t="s">
        <v>13</v>
      </c>
      <c r="C8" s="4" t="s">
        <v>32</v>
      </c>
      <c r="D8" s="2" t="s">
        <v>15</v>
      </c>
      <c r="E8" s="2" t="s">
        <v>44</v>
      </c>
      <c r="F8" s="2" t="s">
        <v>17</v>
      </c>
      <c r="G8" s="2" t="s">
        <v>18</v>
      </c>
      <c r="H8" s="2" t="s">
        <v>45</v>
      </c>
      <c r="I8" s="2" t="s">
        <v>46</v>
      </c>
      <c r="J8" s="14" t="s">
        <v>224</v>
      </c>
      <c r="K8" s="2" t="s">
        <v>196</v>
      </c>
      <c r="L8" s="2"/>
    </row>
    <row r="9" spans="1:12" ht="28" x14ac:dyDescent="0.2">
      <c r="A9" s="2" t="s">
        <v>47</v>
      </c>
      <c r="B9" s="2" t="s">
        <v>13</v>
      </c>
      <c r="C9" s="4" t="s">
        <v>32</v>
      </c>
      <c r="D9" s="2" t="s">
        <v>23</v>
      </c>
      <c r="E9" s="2" t="s">
        <v>48</v>
      </c>
      <c r="F9" s="2" t="s">
        <v>17</v>
      </c>
      <c r="G9" s="2" t="s">
        <v>18</v>
      </c>
      <c r="H9" s="2" t="s">
        <v>49</v>
      </c>
      <c r="I9" s="2" t="s">
        <v>50</v>
      </c>
      <c r="J9" s="14" t="s">
        <v>228</v>
      </c>
      <c r="K9" s="2" t="s">
        <v>196</v>
      </c>
      <c r="L9" s="2"/>
    </row>
    <row r="10" spans="1:12" ht="70" x14ac:dyDescent="0.2">
      <c r="A10" s="2" t="s">
        <v>51</v>
      </c>
      <c r="B10" s="2" t="s">
        <v>13</v>
      </c>
      <c r="C10" s="4" t="s">
        <v>32</v>
      </c>
      <c r="D10" s="2" t="s">
        <v>52</v>
      </c>
      <c r="E10" s="2" t="s">
        <v>53</v>
      </c>
      <c r="F10" s="2" t="s">
        <v>17</v>
      </c>
      <c r="G10" s="2" t="s">
        <v>18</v>
      </c>
      <c r="H10" s="2" t="s">
        <v>54</v>
      </c>
      <c r="I10" s="2" t="s">
        <v>55</v>
      </c>
      <c r="J10" s="14" t="s">
        <v>229</v>
      </c>
      <c r="K10" s="2" t="s">
        <v>195</v>
      </c>
      <c r="L10" s="14" t="s">
        <v>230</v>
      </c>
    </row>
    <row r="11" spans="1:12" ht="56" x14ac:dyDescent="0.2">
      <c r="A11" s="2" t="s">
        <v>56</v>
      </c>
      <c r="B11" s="2" t="s">
        <v>13</v>
      </c>
      <c r="C11" s="4" t="s">
        <v>32</v>
      </c>
      <c r="D11" s="2" t="s">
        <v>23</v>
      </c>
      <c r="E11" s="2" t="s">
        <v>57</v>
      </c>
      <c r="F11" s="2" t="s">
        <v>17</v>
      </c>
      <c r="G11" s="2" t="s">
        <v>18</v>
      </c>
      <c r="H11" s="2" t="s">
        <v>58</v>
      </c>
      <c r="I11" s="2" t="s">
        <v>59</v>
      </c>
      <c r="J11" s="14" t="s">
        <v>231</v>
      </c>
      <c r="K11" s="2" t="s">
        <v>196</v>
      </c>
      <c r="L11" s="2"/>
    </row>
    <row r="12" spans="1:12" ht="42" x14ac:dyDescent="0.2">
      <c r="A12" s="2" t="s">
        <v>60</v>
      </c>
      <c r="B12" s="2" t="s">
        <v>13</v>
      </c>
      <c r="C12" s="4" t="s">
        <v>32</v>
      </c>
      <c r="D12" s="2" t="s">
        <v>52</v>
      </c>
      <c r="E12" s="2" t="s">
        <v>61</v>
      </c>
      <c r="F12" s="2" t="s">
        <v>17</v>
      </c>
      <c r="G12" s="2" t="s">
        <v>18</v>
      </c>
      <c r="H12" s="2" t="s">
        <v>62</v>
      </c>
      <c r="I12" s="2" t="s">
        <v>63</v>
      </c>
      <c r="J12" s="14" t="s">
        <v>233</v>
      </c>
      <c r="K12" s="2" t="s">
        <v>195</v>
      </c>
      <c r="L12" s="2"/>
    </row>
    <row r="13" spans="1:12" ht="168" x14ac:dyDescent="0.2">
      <c r="A13" s="2" t="s">
        <v>64</v>
      </c>
      <c r="B13" s="2" t="s">
        <v>13</v>
      </c>
      <c r="C13" s="3" t="s">
        <v>14</v>
      </c>
      <c r="D13" s="2" t="s">
        <v>15</v>
      </c>
      <c r="E13" s="2" t="s">
        <v>65</v>
      </c>
      <c r="F13" s="2" t="s">
        <v>66</v>
      </c>
      <c r="G13" s="2" t="s">
        <v>67</v>
      </c>
      <c r="H13" s="2" t="s">
        <v>68</v>
      </c>
      <c r="I13" s="2" t="s">
        <v>69</v>
      </c>
      <c r="J13" t="s">
        <v>234</v>
      </c>
      <c r="K13" s="2" t="s">
        <v>197</v>
      </c>
      <c r="L13" s="14" t="s">
        <v>243</v>
      </c>
    </row>
    <row r="14" spans="1:12" ht="168" x14ac:dyDescent="0.2">
      <c r="A14" s="2" t="s">
        <v>70</v>
      </c>
      <c r="B14" s="2" t="s">
        <v>13</v>
      </c>
      <c r="C14" s="4" t="s">
        <v>32</v>
      </c>
      <c r="D14" s="2" t="s">
        <v>15</v>
      </c>
      <c r="E14" s="2" t="s">
        <v>71</v>
      </c>
      <c r="F14" s="2" t="s">
        <v>72</v>
      </c>
      <c r="G14" s="2" t="s">
        <v>73</v>
      </c>
      <c r="H14" s="2" t="s">
        <v>49</v>
      </c>
      <c r="I14" s="2" t="s">
        <v>74</v>
      </c>
      <c r="J14" s="2"/>
      <c r="K14" s="2" t="s">
        <v>197</v>
      </c>
      <c r="L14" s="14" t="s">
        <v>243</v>
      </c>
    </row>
    <row r="15" spans="1:12" ht="168" x14ac:dyDescent="0.2">
      <c r="A15" s="2" t="s">
        <v>75</v>
      </c>
      <c r="B15" s="2" t="s">
        <v>13</v>
      </c>
      <c r="C15" s="4" t="s">
        <v>32</v>
      </c>
      <c r="D15" s="2" t="s">
        <v>15</v>
      </c>
      <c r="E15" s="2" t="s">
        <v>76</v>
      </c>
      <c r="F15" s="2" t="s">
        <v>72</v>
      </c>
      <c r="G15" s="2" t="s">
        <v>77</v>
      </c>
      <c r="H15" s="2" t="s">
        <v>78</v>
      </c>
      <c r="I15" s="2" t="s">
        <v>74</v>
      </c>
      <c r="J15" s="2"/>
      <c r="K15" s="2" t="s">
        <v>197</v>
      </c>
      <c r="L15" s="14" t="s">
        <v>243</v>
      </c>
    </row>
    <row r="16" spans="1:12" ht="42" x14ac:dyDescent="0.2">
      <c r="A16" s="2" t="s">
        <v>79</v>
      </c>
      <c r="B16" s="2" t="s">
        <v>13</v>
      </c>
      <c r="C16" s="4" t="s">
        <v>32</v>
      </c>
      <c r="D16" s="2" t="s">
        <v>23</v>
      </c>
      <c r="E16" s="2" t="s">
        <v>80</v>
      </c>
      <c r="F16" s="2" t="s">
        <v>72</v>
      </c>
      <c r="G16" s="2" t="s">
        <v>81</v>
      </c>
      <c r="H16" s="2" t="s">
        <v>82</v>
      </c>
      <c r="I16" s="2" t="s">
        <v>83</v>
      </c>
      <c r="J16" s="14" t="s">
        <v>242</v>
      </c>
      <c r="K16" s="2" t="s">
        <v>195</v>
      </c>
      <c r="L16" s="14"/>
    </row>
    <row r="17" spans="1:12" ht="28" x14ac:dyDescent="0.2">
      <c r="A17" s="2" t="s">
        <v>84</v>
      </c>
      <c r="B17" s="2" t="s">
        <v>85</v>
      </c>
      <c r="C17" s="3" t="s">
        <v>14</v>
      </c>
      <c r="D17" s="2" t="s">
        <v>15</v>
      </c>
      <c r="E17" s="2" t="s">
        <v>86</v>
      </c>
      <c r="F17" s="2" t="s">
        <v>17</v>
      </c>
      <c r="G17" s="2" t="s">
        <v>87</v>
      </c>
      <c r="H17" s="2" t="s">
        <v>88</v>
      </c>
      <c r="I17" s="2" t="s">
        <v>89</v>
      </c>
      <c r="J17" s="2"/>
      <c r="K17" s="2" t="s">
        <v>195</v>
      </c>
      <c r="L17" s="2"/>
    </row>
    <row r="18" spans="1:12" ht="126" x14ac:dyDescent="0.2">
      <c r="A18" s="2" t="s">
        <v>90</v>
      </c>
      <c r="B18" s="2" t="s">
        <v>85</v>
      </c>
      <c r="C18" s="3" t="s">
        <v>14</v>
      </c>
      <c r="D18" s="2" t="s">
        <v>23</v>
      </c>
      <c r="E18" s="2" t="s">
        <v>91</v>
      </c>
      <c r="F18" s="2" t="s">
        <v>92</v>
      </c>
      <c r="G18" s="2" t="s">
        <v>87</v>
      </c>
      <c r="H18" s="2" t="s">
        <v>88</v>
      </c>
      <c r="I18" s="2" t="s">
        <v>93</v>
      </c>
      <c r="J18" s="2"/>
      <c r="K18" s="2" t="s">
        <v>21</v>
      </c>
      <c r="L18" s="14" t="s">
        <v>248</v>
      </c>
    </row>
    <row r="19" spans="1:12" ht="42" x14ac:dyDescent="0.2">
      <c r="A19" s="2" t="s">
        <v>94</v>
      </c>
      <c r="B19" s="2" t="s">
        <v>85</v>
      </c>
      <c r="C19" s="3" t="s">
        <v>14</v>
      </c>
      <c r="D19" s="2" t="s">
        <v>15</v>
      </c>
      <c r="E19" s="2" t="s">
        <v>95</v>
      </c>
      <c r="F19" s="2" t="s">
        <v>66</v>
      </c>
      <c r="G19" s="2" t="s">
        <v>96</v>
      </c>
      <c r="H19" s="2" t="s">
        <v>88</v>
      </c>
      <c r="I19" s="2" t="s">
        <v>97</v>
      </c>
      <c r="J19" s="2"/>
      <c r="K19" s="2" t="s">
        <v>195</v>
      </c>
      <c r="L19" s="14" t="s">
        <v>249</v>
      </c>
    </row>
    <row r="20" spans="1:12" ht="98" x14ac:dyDescent="0.2">
      <c r="A20" s="2" t="s">
        <v>98</v>
      </c>
      <c r="B20" s="2" t="s">
        <v>85</v>
      </c>
      <c r="C20" s="3" t="s">
        <v>14</v>
      </c>
      <c r="D20" s="2" t="s">
        <v>23</v>
      </c>
      <c r="E20" s="2" t="s">
        <v>99</v>
      </c>
      <c r="F20" s="2" t="s">
        <v>100</v>
      </c>
      <c r="G20" s="2" t="s">
        <v>101</v>
      </c>
      <c r="H20" s="2" t="s">
        <v>88</v>
      </c>
      <c r="I20" s="2" t="s">
        <v>102</v>
      </c>
      <c r="J20" s="16" t="s">
        <v>250</v>
      </c>
      <c r="K20" s="2" t="s">
        <v>196</v>
      </c>
      <c r="L20" s="2"/>
    </row>
    <row r="21" spans="1:12" ht="112" x14ac:dyDescent="0.2">
      <c r="A21" s="2" t="s">
        <v>103</v>
      </c>
      <c r="B21" s="2" t="s">
        <v>85</v>
      </c>
      <c r="C21" s="4" t="s">
        <v>32</v>
      </c>
      <c r="D21" s="2" t="s">
        <v>15</v>
      </c>
      <c r="E21" s="2" t="s">
        <v>104</v>
      </c>
      <c r="F21" s="2" t="s">
        <v>105</v>
      </c>
      <c r="G21" s="2" t="s">
        <v>106</v>
      </c>
      <c r="H21" s="2" t="s">
        <v>88</v>
      </c>
      <c r="I21" s="2" t="s">
        <v>107</v>
      </c>
      <c r="J21" s="14" t="s">
        <v>251</v>
      </c>
      <c r="K21" s="2" t="s">
        <v>195</v>
      </c>
      <c r="L21" s="2"/>
    </row>
    <row r="22" spans="1:12" x14ac:dyDescent="0.2">
      <c r="A22" s="2" t="s">
        <v>108</v>
      </c>
      <c r="B22" s="2" t="s">
        <v>109</v>
      </c>
      <c r="C22" s="3" t="s">
        <v>14</v>
      </c>
      <c r="D22" s="2" t="s">
        <v>15</v>
      </c>
      <c r="E22" s="2" t="s">
        <v>110</v>
      </c>
      <c r="F22" s="2" t="s">
        <v>111</v>
      </c>
      <c r="G22" s="2" t="s">
        <v>112</v>
      </c>
      <c r="H22" s="2" t="s">
        <v>113</v>
      </c>
      <c r="I22" s="2" t="s">
        <v>114</v>
      </c>
      <c r="J22" s="14" t="s">
        <v>252</v>
      </c>
      <c r="K22" s="2" t="s">
        <v>195</v>
      </c>
      <c r="L22" s="2"/>
    </row>
    <row r="23" spans="1:12" ht="42" x14ac:dyDescent="0.2">
      <c r="A23" s="2" t="s">
        <v>115</v>
      </c>
      <c r="B23" s="2" t="s">
        <v>109</v>
      </c>
      <c r="C23" s="3" t="s">
        <v>14</v>
      </c>
      <c r="D23" s="2" t="s">
        <v>15</v>
      </c>
      <c r="E23" s="2" t="s">
        <v>116</v>
      </c>
      <c r="F23" s="2" t="s">
        <v>117</v>
      </c>
      <c r="G23" s="2" t="s">
        <v>112</v>
      </c>
      <c r="H23" s="2" t="s">
        <v>25</v>
      </c>
      <c r="I23" s="2" t="s">
        <v>118</v>
      </c>
      <c r="J23" s="14" t="s">
        <v>253</v>
      </c>
      <c r="K23" s="2" t="s">
        <v>195</v>
      </c>
      <c r="L23" s="2"/>
    </row>
    <row r="24" spans="1:12" ht="28" x14ac:dyDescent="0.2">
      <c r="A24" s="2" t="s">
        <v>119</v>
      </c>
      <c r="B24" s="2" t="s">
        <v>109</v>
      </c>
      <c r="C24" s="3" t="s">
        <v>14</v>
      </c>
      <c r="D24" s="2" t="s">
        <v>15</v>
      </c>
      <c r="E24" s="2" t="s">
        <v>120</v>
      </c>
      <c r="F24" s="2" t="s">
        <v>121</v>
      </c>
      <c r="G24" s="2" t="s">
        <v>112</v>
      </c>
      <c r="H24" s="2" t="s">
        <v>29</v>
      </c>
      <c r="I24" s="2" t="s">
        <v>118</v>
      </c>
      <c r="J24" s="14" t="s">
        <v>254</v>
      </c>
      <c r="K24" s="2" t="s">
        <v>195</v>
      </c>
      <c r="L24" s="2"/>
    </row>
    <row r="25" spans="1:12" ht="28" x14ac:dyDescent="0.2">
      <c r="A25" s="2" t="s">
        <v>122</v>
      </c>
      <c r="B25" s="2" t="s">
        <v>109</v>
      </c>
      <c r="C25" s="4" t="s">
        <v>32</v>
      </c>
      <c r="D25" s="2" t="s">
        <v>15</v>
      </c>
      <c r="E25" s="2" t="s">
        <v>123</v>
      </c>
      <c r="F25" s="2" t="s">
        <v>17</v>
      </c>
      <c r="G25" s="2" t="s">
        <v>124</v>
      </c>
      <c r="H25" s="2" t="s">
        <v>125</v>
      </c>
      <c r="I25" s="2" t="s">
        <v>126</v>
      </c>
      <c r="J25" s="14" t="s">
        <v>255</v>
      </c>
      <c r="K25" s="2" t="s">
        <v>195</v>
      </c>
      <c r="L25" s="2"/>
    </row>
    <row r="26" spans="1:12" ht="42" x14ac:dyDescent="0.2">
      <c r="A26" s="2" t="s">
        <v>127</v>
      </c>
      <c r="B26" s="2" t="s">
        <v>109</v>
      </c>
      <c r="C26" s="4" t="s">
        <v>32</v>
      </c>
      <c r="D26" s="2" t="s">
        <v>15</v>
      </c>
      <c r="E26" s="2" t="s">
        <v>128</v>
      </c>
      <c r="F26" s="2" t="s">
        <v>111</v>
      </c>
      <c r="G26" s="2" t="s">
        <v>112</v>
      </c>
      <c r="H26" s="2" t="s">
        <v>129</v>
      </c>
      <c r="I26" s="2" t="s">
        <v>130</v>
      </c>
      <c r="J26" s="14" t="s">
        <v>256</v>
      </c>
      <c r="K26" s="2" t="s">
        <v>196</v>
      </c>
      <c r="L26" s="2"/>
    </row>
    <row r="27" spans="1:12" ht="42" x14ac:dyDescent="0.2">
      <c r="A27" s="2" t="s">
        <v>131</v>
      </c>
      <c r="B27" s="2" t="s">
        <v>109</v>
      </c>
      <c r="C27" s="4" t="s">
        <v>32</v>
      </c>
      <c r="D27" s="2" t="s">
        <v>23</v>
      </c>
      <c r="E27" s="2" t="s">
        <v>132</v>
      </c>
      <c r="F27" s="2" t="s">
        <v>111</v>
      </c>
      <c r="G27" s="2" t="s">
        <v>112</v>
      </c>
      <c r="H27" s="2" t="s">
        <v>49</v>
      </c>
      <c r="I27" s="2" t="s">
        <v>50</v>
      </c>
      <c r="J27" s="14" t="s">
        <v>259</v>
      </c>
      <c r="K27" s="2" t="s">
        <v>196</v>
      </c>
      <c r="L27" s="2"/>
    </row>
    <row r="28" spans="1:12" ht="28" x14ac:dyDescent="0.2">
      <c r="A28" s="2" t="s">
        <v>133</v>
      </c>
      <c r="B28" s="2" t="s">
        <v>109</v>
      </c>
      <c r="C28" s="4" t="s">
        <v>32</v>
      </c>
      <c r="D28" s="2" t="s">
        <v>23</v>
      </c>
      <c r="E28" s="2" t="s">
        <v>134</v>
      </c>
      <c r="F28" s="2" t="s">
        <v>17</v>
      </c>
      <c r="G28" s="2" t="s">
        <v>135</v>
      </c>
      <c r="H28" s="2" t="s">
        <v>125</v>
      </c>
      <c r="I28" s="2" t="s">
        <v>136</v>
      </c>
      <c r="J28" s="14" t="s">
        <v>261</v>
      </c>
      <c r="K28" s="2" t="s">
        <v>195</v>
      </c>
      <c r="L28" s="2"/>
    </row>
    <row r="29" spans="1:12" ht="84" x14ac:dyDescent="0.2">
      <c r="A29" s="2" t="s">
        <v>137</v>
      </c>
      <c r="B29" s="2" t="s">
        <v>109</v>
      </c>
      <c r="C29" s="3" t="s">
        <v>14</v>
      </c>
      <c r="D29" s="2" t="s">
        <v>15</v>
      </c>
      <c r="E29" s="2" t="s">
        <v>138</v>
      </c>
      <c r="F29" s="2" t="s">
        <v>66</v>
      </c>
      <c r="G29" s="2" t="s">
        <v>139</v>
      </c>
      <c r="H29" s="2" t="s">
        <v>140</v>
      </c>
      <c r="I29" s="2" t="s">
        <v>141</v>
      </c>
      <c r="J29" s="2"/>
      <c r="K29" s="2" t="s">
        <v>197</v>
      </c>
      <c r="L29" s="14" t="s">
        <v>262</v>
      </c>
    </row>
    <row r="30" spans="1:12" ht="70" x14ac:dyDescent="0.2">
      <c r="A30" s="2" t="s">
        <v>142</v>
      </c>
      <c r="B30" s="2" t="s">
        <v>109</v>
      </c>
      <c r="C30" s="4" t="s">
        <v>32</v>
      </c>
      <c r="D30" s="2" t="s">
        <v>23</v>
      </c>
      <c r="E30" s="2" t="s">
        <v>143</v>
      </c>
      <c r="F30" s="2" t="s">
        <v>72</v>
      </c>
      <c r="G30" s="2" t="s">
        <v>144</v>
      </c>
      <c r="H30" s="2" t="s">
        <v>49</v>
      </c>
      <c r="I30" s="2" t="s">
        <v>145</v>
      </c>
      <c r="J30" s="2"/>
      <c r="K30" s="2" t="s">
        <v>197</v>
      </c>
      <c r="L30" s="14" t="s">
        <v>263</v>
      </c>
    </row>
    <row r="31" spans="1:12" ht="42" x14ac:dyDescent="0.2">
      <c r="A31" s="2" t="s">
        <v>146</v>
      </c>
      <c r="B31" s="2" t="s">
        <v>147</v>
      </c>
      <c r="C31" s="3" t="s">
        <v>14</v>
      </c>
      <c r="D31" s="2" t="s">
        <v>15</v>
      </c>
      <c r="E31" s="2" t="s">
        <v>148</v>
      </c>
      <c r="F31" s="2" t="s">
        <v>111</v>
      </c>
      <c r="G31" s="2" t="s">
        <v>149</v>
      </c>
      <c r="H31" s="2" t="s">
        <v>88</v>
      </c>
      <c r="I31" s="2" t="s">
        <v>150</v>
      </c>
      <c r="J31" s="14" t="s">
        <v>264</v>
      </c>
      <c r="K31" s="2" t="s">
        <v>195</v>
      </c>
      <c r="L31" s="2"/>
    </row>
    <row r="32" spans="1:12" ht="28" x14ac:dyDescent="0.2">
      <c r="A32" s="2" t="s">
        <v>151</v>
      </c>
      <c r="B32" s="2" t="s">
        <v>147</v>
      </c>
      <c r="C32" s="4" t="s">
        <v>32</v>
      </c>
      <c r="D32" s="2" t="s">
        <v>15</v>
      </c>
      <c r="E32" s="2" t="s">
        <v>152</v>
      </c>
      <c r="F32" s="2" t="s">
        <v>17</v>
      </c>
      <c r="G32" s="2" t="s">
        <v>153</v>
      </c>
      <c r="H32" s="2" t="s">
        <v>88</v>
      </c>
      <c r="I32" s="2" t="s">
        <v>154</v>
      </c>
      <c r="J32" s="14" t="s">
        <v>265</v>
      </c>
      <c r="K32" s="2" t="s">
        <v>195</v>
      </c>
      <c r="L32" s="2"/>
    </row>
    <row r="33" spans="1:12" ht="56" x14ac:dyDescent="0.2">
      <c r="A33" s="2" t="s">
        <v>155</v>
      </c>
      <c r="B33" s="2" t="s">
        <v>147</v>
      </c>
      <c r="C33" s="4" t="s">
        <v>32</v>
      </c>
      <c r="D33" s="2" t="s">
        <v>23</v>
      </c>
      <c r="E33" s="2" t="s">
        <v>156</v>
      </c>
      <c r="F33" s="2" t="s">
        <v>111</v>
      </c>
      <c r="G33" s="2" t="s">
        <v>157</v>
      </c>
      <c r="H33" s="2" t="s">
        <v>88</v>
      </c>
      <c r="I33" s="2" t="s">
        <v>158</v>
      </c>
      <c r="J33" s="14" t="s">
        <v>266</v>
      </c>
      <c r="K33" s="2" t="s">
        <v>195</v>
      </c>
      <c r="L33" s="2"/>
    </row>
    <row r="34" spans="1:12" ht="98" x14ac:dyDescent="0.2">
      <c r="A34" s="2" t="s">
        <v>159</v>
      </c>
      <c r="B34" s="2" t="s">
        <v>147</v>
      </c>
      <c r="C34" s="3" t="s">
        <v>14</v>
      </c>
      <c r="D34" s="2" t="s">
        <v>15</v>
      </c>
      <c r="E34" s="2" t="s">
        <v>160</v>
      </c>
      <c r="F34" s="2" t="s">
        <v>66</v>
      </c>
      <c r="G34" s="2" t="s">
        <v>161</v>
      </c>
      <c r="H34" s="2" t="s">
        <v>88</v>
      </c>
      <c r="I34" s="2" t="s">
        <v>162</v>
      </c>
      <c r="J34" s="2"/>
      <c r="K34" s="2" t="s">
        <v>197</v>
      </c>
      <c r="L34" s="14" t="s">
        <v>267</v>
      </c>
    </row>
    <row r="35" spans="1:12" ht="70" x14ac:dyDescent="0.2">
      <c r="A35" s="2" t="s">
        <v>163</v>
      </c>
      <c r="B35" s="2" t="s">
        <v>147</v>
      </c>
      <c r="C35" s="4" t="s">
        <v>32</v>
      </c>
      <c r="D35" s="2" t="s">
        <v>23</v>
      </c>
      <c r="E35" s="2" t="s">
        <v>164</v>
      </c>
      <c r="F35" s="2" t="s">
        <v>72</v>
      </c>
      <c r="G35" s="2" t="s">
        <v>165</v>
      </c>
      <c r="H35" s="2" t="s">
        <v>88</v>
      </c>
      <c r="I35" s="2" t="s">
        <v>166</v>
      </c>
      <c r="J35" s="2"/>
      <c r="K35" s="2" t="s">
        <v>197</v>
      </c>
      <c r="L35" s="14" t="s">
        <v>268</v>
      </c>
    </row>
    <row r="36" spans="1:12" ht="28" x14ac:dyDescent="0.2">
      <c r="A36" s="2" t="s">
        <v>167</v>
      </c>
      <c r="B36" s="2" t="s">
        <v>168</v>
      </c>
      <c r="C36" s="4" t="s">
        <v>32</v>
      </c>
      <c r="D36" s="2" t="s">
        <v>52</v>
      </c>
      <c r="E36" s="2" t="s">
        <v>169</v>
      </c>
      <c r="F36" s="2" t="s">
        <v>17</v>
      </c>
      <c r="G36" s="2" t="s">
        <v>170</v>
      </c>
      <c r="H36" s="2" t="s">
        <v>88</v>
      </c>
      <c r="I36" s="2" t="s">
        <v>171</v>
      </c>
      <c r="J36" s="14" t="s">
        <v>271</v>
      </c>
      <c r="K36" s="2" t="s">
        <v>195</v>
      </c>
      <c r="L36" s="2"/>
    </row>
    <row r="37" spans="1:12" ht="64" x14ac:dyDescent="0.2">
      <c r="A37" s="2" t="s">
        <v>172</v>
      </c>
      <c r="B37" s="2" t="s">
        <v>168</v>
      </c>
      <c r="C37" s="3" t="s">
        <v>14</v>
      </c>
      <c r="D37" s="2" t="s">
        <v>23</v>
      </c>
      <c r="E37" s="2" t="s">
        <v>173</v>
      </c>
      <c r="F37" s="2" t="s">
        <v>66</v>
      </c>
      <c r="G37" s="2" t="s">
        <v>174</v>
      </c>
      <c r="H37" s="2" t="s">
        <v>88</v>
      </c>
      <c r="I37" s="2" t="s">
        <v>175</v>
      </c>
      <c r="J37" s="17" t="s">
        <v>272</v>
      </c>
      <c r="K37" s="2" t="s">
        <v>195</v>
      </c>
      <c r="L37" s="2"/>
    </row>
    <row r="38" spans="1:12" ht="84" x14ac:dyDescent="0.2">
      <c r="A38" s="2" t="s">
        <v>176</v>
      </c>
      <c r="B38" s="2" t="s">
        <v>168</v>
      </c>
      <c r="C38" s="4" t="s">
        <v>32</v>
      </c>
      <c r="D38" s="2" t="s">
        <v>52</v>
      </c>
      <c r="E38" s="2" t="s">
        <v>177</v>
      </c>
      <c r="F38" s="2" t="s">
        <v>17</v>
      </c>
      <c r="G38" s="2" t="s">
        <v>178</v>
      </c>
      <c r="H38" s="2" t="s">
        <v>88</v>
      </c>
      <c r="I38" s="2" t="s">
        <v>179</v>
      </c>
      <c r="J38" s="14" t="s">
        <v>273</v>
      </c>
      <c r="K38" s="2" t="s">
        <v>196</v>
      </c>
      <c r="L38" s="2"/>
    </row>
    <row r="39" spans="1:12" ht="42" x14ac:dyDescent="0.2">
      <c r="A39" s="2" t="s">
        <v>180</v>
      </c>
      <c r="B39" s="2" t="s">
        <v>168</v>
      </c>
      <c r="C39" s="3" t="s">
        <v>14</v>
      </c>
      <c r="D39" s="2" t="s">
        <v>52</v>
      </c>
      <c r="E39" s="2" t="s">
        <v>181</v>
      </c>
      <c r="F39" s="2" t="s">
        <v>72</v>
      </c>
      <c r="G39" s="2" t="s">
        <v>182</v>
      </c>
      <c r="H39" s="2" t="s">
        <v>88</v>
      </c>
      <c r="I39" s="2" t="s">
        <v>183</v>
      </c>
      <c r="J39" s="14" t="s">
        <v>276</v>
      </c>
      <c r="K39" s="2" t="s">
        <v>195</v>
      </c>
      <c r="L39" s="2"/>
    </row>
    <row r="40" spans="1:12" ht="56" x14ac:dyDescent="0.2">
      <c r="A40" s="2" t="s">
        <v>184</v>
      </c>
      <c r="B40" s="2" t="s">
        <v>168</v>
      </c>
      <c r="C40" s="4" t="s">
        <v>32</v>
      </c>
      <c r="D40" s="2" t="s">
        <v>23</v>
      </c>
      <c r="E40" s="2" t="s">
        <v>185</v>
      </c>
      <c r="F40" s="2" t="s">
        <v>17</v>
      </c>
      <c r="G40" s="2" t="s">
        <v>186</v>
      </c>
      <c r="H40" s="2" t="s">
        <v>187</v>
      </c>
      <c r="I40" s="2" t="s">
        <v>188</v>
      </c>
      <c r="J40" s="18" t="s">
        <v>277</v>
      </c>
      <c r="K40" s="2" t="s">
        <v>195</v>
      </c>
      <c r="L40" s="2"/>
    </row>
    <row r="41" spans="1:12" ht="126" x14ac:dyDescent="0.2">
      <c r="A41" s="2" t="s">
        <v>189</v>
      </c>
      <c r="B41" s="2" t="s">
        <v>168</v>
      </c>
      <c r="C41" s="4" t="s">
        <v>32</v>
      </c>
      <c r="D41" s="2" t="s">
        <v>23</v>
      </c>
      <c r="E41" s="2" t="s">
        <v>190</v>
      </c>
      <c r="F41" s="2" t="s">
        <v>17</v>
      </c>
      <c r="G41" s="2" t="s">
        <v>18</v>
      </c>
      <c r="H41" s="2" t="s">
        <v>191</v>
      </c>
      <c r="I41" s="2" t="s">
        <v>192</v>
      </c>
      <c r="J41" s="14" t="s">
        <v>278</v>
      </c>
      <c r="K41" s="2" t="s">
        <v>195</v>
      </c>
      <c r="L41" s="2"/>
    </row>
  </sheetData>
  <dataValidations count="1">
    <dataValidation type="list" allowBlank="1" sqref="K2:K41" xr:uid="{00000000-0002-0000-0000-000000000000}">
      <formula1>"Not Executed,Pass,Fail,Blocked"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zoomScaleNormal="100" workbookViewId="0">
      <selection activeCell="E8" sqref="E8"/>
    </sheetView>
  </sheetViews>
  <sheetFormatPr baseColWidth="10" defaultColWidth="8.6640625" defaultRowHeight="15" x14ac:dyDescent="0.2"/>
  <cols>
    <col min="1" max="1" width="16" customWidth="1"/>
    <col min="2" max="3" width="10" customWidth="1"/>
    <col min="4" max="5" width="8" customWidth="1"/>
    <col min="6" max="6" width="10" customWidth="1"/>
    <col min="7" max="7" width="14" customWidth="1"/>
    <col min="8" max="9" width="12" customWidth="1"/>
  </cols>
  <sheetData>
    <row r="1" spans="1:9" x14ac:dyDescent="0.2">
      <c r="A1" s="1" t="s">
        <v>1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21</v>
      </c>
      <c r="H1" s="1" t="s">
        <v>198</v>
      </c>
      <c r="I1" s="1" t="s">
        <v>199</v>
      </c>
    </row>
    <row r="2" spans="1:9" x14ac:dyDescent="0.2">
      <c r="A2" s="5" t="s">
        <v>13</v>
      </c>
      <c r="B2" s="6">
        <f>COUNTIF('Test Cases'!B:B,A2)</f>
        <v>15</v>
      </c>
      <c r="C2" s="6">
        <f>COUNTIFS('Test Cases'!B:B,A2,'Test Cases'!K:K,"&lt;&gt;Not Executed")</f>
        <v>15</v>
      </c>
      <c r="D2" s="6">
        <f>COUNTIFS('Test Cases'!B:B,A2,'Test Cases'!K:K,"Pass")</f>
        <v>7</v>
      </c>
      <c r="E2" s="6">
        <f>COUNTIFS('Test Cases'!B:B,A2,'Test Cases'!K:K,"Fail")</f>
        <v>5</v>
      </c>
      <c r="F2" s="6">
        <f>COUNTIFS('Test Cases'!B:B,A2,'Test Cases'!K:K,"Blocked")</f>
        <v>3</v>
      </c>
      <c r="G2" s="6">
        <f>COUNTIFS('Test Cases'!B:B,A2,'Test Cases'!K:K,"Not Executed")</f>
        <v>0</v>
      </c>
      <c r="H2" s="7">
        <f t="shared" ref="H2:I7" si="0">IFERROR(C2/B2,0)</f>
        <v>1</v>
      </c>
      <c r="I2" s="7">
        <f t="shared" si="0"/>
        <v>0.46666666666666667</v>
      </c>
    </row>
    <row r="3" spans="1:9" x14ac:dyDescent="0.2">
      <c r="A3" s="5" t="s">
        <v>85</v>
      </c>
      <c r="B3" s="6">
        <f>COUNTIF('Test Cases'!B:B,A3)</f>
        <v>5</v>
      </c>
      <c r="C3" s="6">
        <f>COUNTIFS('Test Cases'!B:B,A3,'Test Cases'!K:K,"&lt;&gt;Not Executed")</f>
        <v>4</v>
      </c>
      <c r="D3" s="6">
        <f>COUNTIFS('Test Cases'!B:B,A3,'Test Cases'!K:K,"Pass")</f>
        <v>3</v>
      </c>
      <c r="E3" s="6">
        <f>COUNTIFS('Test Cases'!B:B,A3,'Test Cases'!K:K,"Fail")</f>
        <v>1</v>
      </c>
      <c r="F3" s="6">
        <f>COUNTIFS('Test Cases'!B:B,A3,'Test Cases'!K:K,"Blocked")</f>
        <v>0</v>
      </c>
      <c r="G3" s="6">
        <f>COUNTIFS('Test Cases'!B:B,A3,'Test Cases'!K:K,"Not Executed")</f>
        <v>1</v>
      </c>
      <c r="H3" s="7">
        <f t="shared" si="0"/>
        <v>0.8</v>
      </c>
      <c r="I3" s="7">
        <f t="shared" si="0"/>
        <v>0.75</v>
      </c>
    </row>
    <row r="4" spans="1:9" x14ac:dyDescent="0.2">
      <c r="A4" s="5" t="s">
        <v>109</v>
      </c>
      <c r="B4" s="6">
        <f>COUNTIF('Test Cases'!B:B,A4)</f>
        <v>9</v>
      </c>
      <c r="C4" s="6">
        <f>COUNTIFS('Test Cases'!B:B,A4,'Test Cases'!K:K,"&lt;&gt;Not Executed")</f>
        <v>9</v>
      </c>
      <c r="D4" s="6">
        <f>COUNTIFS('Test Cases'!B:B,A4,'Test Cases'!K:K,"Pass")</f>
        <v>5</v>
      </c>
      <c r="E4" s="6">
        <f>COUNTIFS('Test Cases'!B:B,A4,'Test Cases'!K:K,"Fail")</f>
        <v>2</v>
      </c>
      <c r="F4" s="6">
        <f>COUNTIFS('Test Cases'!B:B,A4,'Test Cases'!K:K,"Blocked")</f>
        <v>2</v>
      </c>
      <c r="G4" s="6">
        <f>COUNTIFS('Test Cases'!B:B,A4,'Test Cases'!K:K,"Not Executed")</f>
        <v>0</v>
      </c>
      <c r="H4" s="7">
        <f t="shared" si="0"/>
        <v>1</v>
      </c>
      <c r="I4" s="7">
        <f t="shared" si="0"/>
        <v>0.55555555555555558</v>
      </c>
    </row>
    <row r="5" spans="1:9" x14ac:dyDescent="0.2">
      <c r="A5" s="5" t="s">
        <v>147</v>
      </c>
      <c r="B5" s="6">
        <f>COUNTIF('Test Cases'!B:B,A5)</f>
        <v>5</v>
      </c>
      <c r="C5" s="6">
        <f>COUNTIFS('Test Cases'!B:B,A5,'Test Cases'!K:K,"&lt;&gt;Not Executed")</f>
        <v>5</v>
      </c>
      <c r="D5" s="6">
        <f>COUNTIFS('Test Cases'!B:B,A5,'Test Cases'!K:K,"Pass")</f>
        <v>3</v>
      </c>
      <c r="E5" s="6">
        <f>COUNTIFS('Test Cases'!B:B,A5,'Test Cases'!K:K,"Fail")</f>
        <v>0</v>
      </c>
      <c r="F5" s="6">
        <f>COUNTIFS('Test Cases'!B:B,A5,'Test Cases'!K:K,"Blocked")</f>
        <v>2</v>
      </c>
      <c r="G5" s="6">
        <f>COUNTIFS('Test Cases'!B:B,A5,'Test Cases'!K:K,"Not Executed")</f>
        <v>0</v>
      </c>
      <c r="H5" s="7">
        <f t="shared" si="0"/>
        <v>1</v>
      </c>
      <c r="I5" s="7">
        <f t="shared" si="0"/>
        <v>0.6</v>
      </c>
    </row>
    <row r="6" spans="1:9" x14ac:dyDescent="0.2">
      <c r="A6" s="5" t="s">
        <v>168</v>
      </c>
      <c r="B6" s="6">
        <f>COUNTIF('Test Cases'!B:B,A6)</f>
        <v>6</v>
      </c>
      <c r="C6" s="6">
        <f>COUNTIFS('Test Cases'!B:B,A6,'Test Cases'!K:K,"&lt;&gt;Not Executed")</f>
        <v>6</v>
      </c>
      <c r="D6" s="6">
        <f>COUNTIFS('Test Cases'!B:B,A6,'Test Cases'!K:K,"Pass")</f>
        <v>5</v>
      </c>
      <c r="E6" s="6">
        <f>COUNTIFS('Test Cases'!B:B,A6,'Test Cases'!K:K,"Fail")</f>
        <v>1</v>
      </c>
      <c r="F6" s="6">
        <f>COUNTIFS('Test Cases'!B:B,A6,'Test Cases'!K:K,"Blocked")</f>
        <v>0</v>
      </c>
      <c r="G6" s="6">
        <f>COUNTIFS('Test Cases'!B:B,A6,'Test Cases'!K:K,"Not Executed")</f>
        <v>0</v>
      </c>
      <c r="H6" s="7">
        <f t="shared" si="0"/>
        <v>1</v>
      </c>
      <c r="I6" s="7">
        <f t="shared" si="0"/>
        <v>0.83333333333333337</v>
      </c>
    </row>
    <row r="7" spans="1:9" x14ac:dyDescent="0.2">
      <c r="A7" s="8" t="s">
        <v>200</v>
      </c>
      <c r="B7" s="9">
        <f t="shared" ref="B7:G7" si="1">SUM(B2:B6)</f>
        <v>40</v>
      </c>
      <c r="C7" s="9">
        <f t="shared" si="1"/>
        <v>39</v>
      </c>
      <c r="D7" s="9">
        <f t="shared" si="1"/>
        <v>23</v>
      </c>
      <c r="E7" s="9">
        <f t="shared" si="1"/>
        <v>9</v>
      </c>
      <c r="F7" s="9">
        <f t="shared" si="1"/>
        <v>7</v>
      </c>
      <c r="G7" s="9">
        <f t="shared" si="1"/>
        <v>1</v>
      </c>
      <c r="H7" s="10">
        <f t="shared" si="0"/>
        <v>0.97499999999999998</v>
      </c>
      <c r="I7" s="10">
        <f t="shared" si="0"/>
        <v>0.58974358974358976</v>
      </c>
    </row>
    <row r="9" spans="1:9" x14ac:dyDescent="0.2">
      <c r="A9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30" customWidth="1"/>
    <col min="4" max="5" width="10" customWidth="1"/>
    <col min="6" max="6" width="16" customWidth="1"/>
    <col min="7" max="7" width="30" customWidth="1"/>
    <col min="8" max="9" width="24" customWidth="1"/>
    <col min="10" max="10" width="10" customWidth="1"/>
    <col min="11" max="11" width="14" customWidth="1"/>
    <col min="12" max="12" width="12" customWidth="1"/>
  </cols>
  <sheetData>
    <row r="1" spans="1:12" ht="30" customHeight="1" x14ac:dyDescent="0.2">
      <c r="A1" s="15" t="s">
        <v>201</v>
      </c>
      <c r="B1" s="15" t="s">
        <v>202</v>
      </c>
      <c r="C1" s="1" t="s">
        <v>203</v>
      </c>
      <c r="D1" s="1" t="s">
        <v>204</v>
      </c>
      <c r="E1" s="1" t="s">
        <v>3</v>
      </c>
      <c r="F1" s="1" t="s">
        <v>205</v>
      </c>
      <c r="G1" s="1" t="s">
        <v>206</v>
      </c>
      <c r="H1" s="1" t="s">
        <v>8</v>
      </c>
      <c r="I1" s="1" t="s">
        <v>9</v>
      </c>
      <c r="J1" s="1" t="s">
        <v>10</v>
      </c>
      <c r="K1" s="1" t="s">
        <v>207</v>
      </c>
      <c r="L1" s="1" t="s">
        <v>208</v>
      </c>
    </row>
    <row r="2" spans="1:12" ht="88" customHeight="1" x14ac:dyDescent="0.2">
      <c r="A2" s="12" t="s">
        <v>209</v>
      </c>
      <c r="B2" s="12" t="s">
        <v>43</v>
      </c>
      <c r="C2" s="13" t="s">
        <v>274</v>
      </c>
      <c r="D2" s="13" t="s">
        <v>211</v>
      </c>
      <c r="E2" s="13" t="s">
        <v>23</v>
      </c>
      <c r="F2" s="13" t="s">
        <v>215</v>
      </c>
      <c r="G2" s="12" t="s">
        <v>279</v>
      </c>
      <c r="H2" s="13" t="s">
        <v>275</v>
      </c>
      <c r="I2" s="13" t="s">
        <v>212</v>
      </c>
      <c r="J2" s="12" t="s">
        <v>210</v>
      </c>
      <c r="K2" s="13" t="s">
        <v>213</v>
      </c>
      <c r="L2" s="13" t="s">
        <v>214</v>
      </c>
    </row>
    <row r="3" spans="1:12" ht="98" x14ac:dyDescent="0.2">
      <c r="A3" s="13" t="s">
        <v>220</v>
      </c>
      <c r="B3" s="13" t="s">
        <v>260</v>
      </c>
      <c r="C3" s="13" t="s">
        <v>236</v>
      </c>
      <c r="D3" s="13" t="s">
        <v>235</v>
      </c>
      <c r="E3" s="13" t="s">
        <v>15</v>
      </c>
      <c r="F3" s="13" t="s">
        <v>215</v>
      </c>
      <c r="G3" s="12" t="s">
        <v>280</v>
      </c>
      <c r="H3" s="13" t="s">
        <v>237</v>
      </c>
      <c r="I3" s="13" t="s">
        <v>238</v>
      </c>
      <c r="J3" s="12" t="s">
        <v>210</v>
      </c>
      <c r="K3" s="13" t="s">
        <v>213</v>
      </c>
      <c r="L3" s="13" t="s">
        <v>214</v>
      </c>
    </row>
    <row r="4" spans="1:12" ht="84" x14ac:dyDescent="0.2">
      <c r="A4" s="13" t="s">
        <v>225</v>
      </c>
      <c r="B4" s="13" t="s">
        <v>257</v>
      </c>
      <c r="C4" s="13" t="s">
        <v>258</v>
      </c>
      <c r="D4" s="13" t="s">
        <v>221</v>
      </c>
      <c r="E4" s="13" t="s">
        <v>15</v>
      </c>
      <c r="F4" s="13" t="s">
        <v>215</v>
      </c>
      <c r="G4" s="12" t="s">
        <v>281</v>
      </c>
      <c r="H4" s="13" t="s">
        <v>226</v>
      </c>
      <c r="I4" s="13" t="s">
        <v>227</v>
      </c>
      <c r="J4" s="12" t="s">
        <v>210</v>
      </c>
      <c r="K4" s="13" t="s">
        <v>213</v>
      </c>
      <c r="L4" s="13" t="s">
        <v>214</v>
      </c>
    </row>
    <row r="5" spans="1:12" ht="98" x14ac:dyDescent="0.2">
      <c r="A5" s="13" t="s">
        <v>232</v>
      </c>
      <c r="B5" s="13" t="s">
        <v>56</v>
      </c>
      <c r="C5" s="13" t="s">
        <v>239</v>
      </c>
      <c r="D5" s="13" t="s">
        <v>235</v>
      </c>
      <c r="E5" s="13" t="s">
        <v>15</v>
      </c>
      <c r="F5" s="13" t="s">
        <v>215</v>
      </c>
      <c r="G5" s="12" t="s">
        <v>282</v>
      </c>
      <c r="H5" s="13" t="s">
        <v>240</v>
      </c>
      <c r="I5" s="13" t="s">
        <v>241</v>
      </c>
      <c r="J5" s="12" t="s">
        <v>210</v>
      </c>
      <c r="K5" s="13" t="s">
        <v>213</v>
      </c>
      <c r="L5" s="13" t="s">
        <v>214</v>
      </c>
    </row>
    <row r="6" spans="1:12" ht="140" x14ac:dyDescent="0.2">
      <c r="A6" s="13" t="s">
        <v>247</v>
      </c>
      <c r="B6" s="13" t="s">
        <v>269</v>
      </c>
      <c r="C6" s="13" t="s">
        <v>270</v>
      </c>
      <c r="D6" s="13" t="s">
        <v>244</v>
      </c>
      <c r="E6" s="13" t="s">
        <v>52</v>
      </c>
      <c r="F6" s="13" t="s">
        <v>215</v>
      </c>
      <c r="G6" s="12" t="s">
        <v>283</v>
      </c>
      <c r="H6" s="13" t="s">
        <v>245</v>
      </c>
      <c r="I6" s="13" t="s">
        <v>246</v>
      </c>
      <c r="J6" s="12" t="s">
        <v>210</v>
      </c>
      <c r="K6" s="13" t="s">
        <v>213</v>
      </c>
      <c r="L6" s="13" t="s">
        <v>214</v>
      </c>
    </row>
    <row r="7" spans="1:12" x14ac:dyDescent="0.2">
      <c r="A7" s="13"/>
      <c r="B7" s="13"/>
      <c r="C7" s="13"/>
      <c r="D7" s="13"/>
      <c r="E7" s="13"/>
      <c r="F7" s="13"/>
      <c r="G7" s="13"/>
      <c r="H7" s="13"/>
      <c r="I7" s="13"/>
      <c r="J7" s="12"/>
      <c r="K7" s="13"/>
      <c r="L7" s="13"/>
    </row>
    <row r="8" spans="1:12" x14ac:dyDescent="0.2">
      <c r="A8" s="13"/>
      <c r="B8" s="13"/>
      <c r="C8" s="13"/>
      <c r="D8" s="13"/>
      <c r="E8" s="13"/>
      <c r="F8" s="13"/>
      <c r="G8" s="13"/>
      <c r="H8" s="13"/>
      <c r="I8" s="13"/>
      <c r="J8" s="12"/>
      <c r="K8" s="13"/>
      <c r="L8" s="13"/>
    </row>
  </sheetData>
  <dataValidations count="3">
    <dataValidation type="list" allowBlank="1" sqref="D9:D50" xr:uid="{00000000-0002-0000-0200-000000000000}">
      <formula1>"Blocker,Critical,Major,Medium,Minor,Trivial"</formula1>
      <formula2>0</formula2>
    </dataValidation>
    <dataValidation type="list" allowBlank="1" sqref="E9:E50" xr:uid="{00000000-0002-0000-0200-000001000000}">
      <formula1>"High,Medium,Low"</formula1>
      <formula2>0</formula2>
    </dataValidation>
    <dataValidation type="list" allowBlank="1" sqref="J9:J50" xr:uid="{00000000-0002-0000-0200-000002000000}">
      <formula1>"Open,In Progress,Fixed,Retest,Closed,Rejected"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Coverage Summary</vt:lpstr>
      <vt:lpstr>Bug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2026-09-09T08:03:41Z</dcterms:created>
  <dcterms:modified xsi:type="dcterms:W3CDTF">2026-09-09T14:27:29Z</dcterms:modified>
  <dc:language>en-US</dc:language>
</cp:coreProperties>
</file>